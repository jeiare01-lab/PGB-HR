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  <sheet xmlns:r="http://schemas.openxmlformats.org/officeDocument/2006/relationships" name="Diversity" sheetId="2" state="visible" r:id="rId2"/>
    <sheet xmlns:r="http://schemas.openxmlformats.org/officeDocument/2006/relationships" name="Attrition &amp; Retention" sheetId="3" state="visible" r:id="rId3"/>
    <sheet xmlns:r="http://schemas.openxmlformats.org/officeDocument/2006/relationships" name="PR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6B7A99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D1B3D"/>
      <sz val="10"/>
    </font>
    <font>
      <name val="Arial"/>
      <b val="1"/>
      <color rgb="002E7D32"/>
      <sz val="10"/>
    </font>
  </fonts>
  <fills count="8">
    <fill>
      <patternFill/>
    </fill>
    <fill>
      <patternFill patternType="gray125"/>
    </fill>
    <fill>
      <patternFill patternType="solid">
        <fgColor rgb="000D1B3D"/>
      </patternFill>
    </fill>
    <fill>
      <patternFill patternType="solid">
        <fgColor rgb="00F5F0E8"/>
      </patternFill>
    </fill>
    <fill>
      <patternFill patternType="solid">
        <fgColor rgb="00EDE7D9"/>
      </patternFill>
    </fill>
    <fill>
      <patternFill patternType="solid">
        <fgColor rgb="00E65100"/>
      </patternFill>
    </fill>
    <fill>
      <patternFill patternType="solid">
        <fgColor rgb="00FFFDE7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 ht="30" customHeight="1">
      <c r="A1" s="1" t="inlineStr">
        <is>
          <t>HR Operations — Headcount</t>
        </is>
      </c>
    </row>
    <row r="2" ht="16" customHeight="1">
      <c r="A2" s="2" t="inlineStr">
        <is>
          <t>PGB Group · May 2026 · Yellow cells = input · Do not change headers</t>
        </is>
      </c>
    </row>
    <row r="3">
      <c r="A3" s="3" t="n"/>
      <c r="B3" s="4" t="inlineStr">
        <is>
          <t>ABC</t>
        </is>
      </c>
      <c r="C3" s="4" t="inlineStr">
        <is>
          <t>CSI</t>
        </is>
      </c>
      <c r="D3" s="4" t="inlineStr">
        <is>
          <t>PSC</t>
        </is>
      </c>
      <c r="E3" s="4" t="inlineStr">
        <is>
          <t>PHI</t>
        </is>
      </c>
      <c r="F3" s="4" t="inlineStr">
        <is>
          <t>PPC</t>
        </is>
      </c>
      <c r="G3" s="4" t="inlineStr">
        <is>
          <t>AMICI</t>
        </is>
      </c>
      <c r="H3" s="4" t="inlineStr">
        <is>
          <t>CSPIC</t>
        </is>
      </c>
      <c r="I3" s="4" t="inlineStr">
        <is>
          <t>PTMSI</t>
        </is>
      </c>
      <c r="J3" s="4" t="inlineStr">
        <is>
          <t>PTMSI SB</t>
        </is>
      </c>
      <c r="K3" s="4" t="inlineStr">
        <is>
          <t>EPICS</t>
        </is>
      </c>
      <c r="L3" s="4" t="inlineStr">
        <is>
          <t>PSEFI</t>
        </is>
      </c>
      <c r="M3" s="4" t="inlineStr">
        <is>
          <t>SKILLS</t>
        </is>
      </c>
      <c r="N3" s="4" t="inlineStr">
        <is>
          <t>SKL COOP</t>
        </is>
      </c>
      <c r="O3" s="4" t="inlineStr">
        <is>
          <t>PSI</t>
        </is>
      </c>
      <c r="P3" s="4" t="inlineStr">
        <is>
          <t>APODIS</t>
        </is>
      </c>
      <c r="Q3" s="4" t="inlineStr">
        <is>
          <t>MLG</t>
        </is>
      </c>
      <c r="R3" s="4" t="inlineStr">
        <is>
          <t>THAM</t>
        </is>
      </c>
      <c r="S3" s="4" t="inlineStr">
        <is>
          <t>SLM</t>
        </is>
      </c>
      <c r="T3" s="5" t="inlineStr">
        <is>
          <t>TOTAL</t>
        </is>
      </c>
    </row>
    <row r="4" ht="20" customHeight="1">
      <c r="A4" s="6" t="inlineStr">
        <is>
          <t>STAFF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8" t="n"/>
    </row>
    <row r="5" ht="20" customHeight="1">
      <c r="A5" s="9" t="inlineStr">
        <is>
          <t>Start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1">
        <f>SUM(B5:S5)</f>
        <v/>
      </c>
    </row>
    <row r="6" ht="20" customHeight="1">
      <c r="A6" s="9" t="inlineStr">
        <is>
          <t>Hired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1">
        <f>SUM(B6:S6)</f>
        <v/>
      </c>
    </row>
    <row r="7" ht="20" customHeight="1">
      <c r="A7" s="9" t="inlineStr">
        <is>
          <t>Separated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1">
        <f>SUM(B7:S7)</f>
        <v/>
      </c>
    </row>
    <row r="8" ht="20" customHeight="1">
      <c r="A8" s="9" t="inlineStr">
        <is>
          <t>End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1">
        <f>SUM(B8:S8)</f>
        <v/>
      </c>
    </row>
    <row r="9" ht="20" customHeight="1">
      <c r="A9" s="6" t="inlineStr">
        <is>
          <t>RANKS &amp; FILE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8" t="n"/>
    </row>
    <row r="10" ht="20" customHeight="1">
      <c r="A10" s="9" t="inlineStr">
        <is>
          <t>Start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1">
        <f>SUM(B10:S10)</f>
        <v/>
      </c>
    </row>
    <row r="11" ht="20" customHeight="1">
      <c r="A11" s="9" t="inlineStr">
        <is>
          <t>Hired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1">
        <f>SUM(B11:S11)</f>
        <v/>
      </c>
    </row>
    <row r="12" ht="20" customHeight="1">
      <c r="A12" s="9" t="inlineStr">
        <is>
          <t>Separated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1">
        <f>SUM(B12:S12)</f>
        <v/>
      </c>
    </row>
    <row r="13" ht="20" customHeight="1">
      <c r="A13" s="9" t="inlineStr">
        <is>
          <t>End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1">
        <f>SUM(B13:S13)</f>
        <v/>
      </c>
    </row>
  </sheetData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 ht="30" customHeight="1">
      <c r="A1" s="1" t="inlineStr">
        <is>
          <t>HR Operations — Workplace Diversity</t>
        </is>
      </c>
    </row>
    <row r="2" ht="16" customHeight="1">
      <c r="A2" s="2" t="inlineStr">
        <is>
          <t>Age, gender, and tenure · May 2026</t>
        </is>
      </c>
    </row>
    <row r="3">
      <c r="A3" s="3" t="n"/>
      <c r="B3" s="4" t="inlineStr">
        <is>
          <t>ABC</t>
        </is>
      </c>
      <c r="C3" s="4" t="inlineStr">
        <is>
          <t>CSI</t>
        </is>
      </c>
      <c r="D3" s="4" t="inlineStr">
        <is>
          <t>PSC</t>
        </is>
      </c>
      <c r="E3" s="4" t="inlineStr">
        <is>
          <t>PHI</t>
        </is>
      </c>
      <c r="F3" s="4" t="inlineStr">
        <is>
          <t>PPC</t>
        </is>
      </c>
      <c r="G3" s="4" t="inlineStr">
        <is>
          <t>AMICI</t>
        </is>
      </c>
      <c r="H3" s="4" t="inlineStr">
        <is>
          <t>CSPIC</t>
        </is>
      </c>
      <c r="I3" s="4" t="inlineStr">
        <is>
          <t>PTMSI</t>
        </is>
      </c>
      <c r="J3" s="4" t="inlineStr">
        <is>
          <t>PTMSI SB</t>
        </is>
      </c>
      <c r="K3" s="4" t="inlineStr">
        <is>
          <t>EPICS</t>
        </is>
      </c>
      <c r="L3" s="4" t="inlineStr">
        <is>
          <t>PSEFI</t>
        </is>
      </c>
      <c r="M3" s="4" t="inlineStr">
        <is>
          <t>SKILLS</t>
        </is>
      </c>
      <c r="N3" s="4" t="inlineStr">
        <is>
          <t>SKL COOP</t>
        </is>
      </c>
      <c r="O3" s="4" t="inlineStr">
        <is>
          <t>PSI</t>
        </is>
      </c>
      <c r="P3" s="4" t="inlineStr">
        <is>
          <t>APODIS</t>
        </is>
      </c>
      <c r="Q3" s="4" t="inlineStr">
        <is>
          <t>MLG</t>
        </is>
      </c>
      <c r="R3" s="4" t="inlineStr">
        <is>
          <t>THAM</t>
        </is>
      </c>
      <c r="S3" s="4" t="inlineStr">
        <is>
          <t>SLM</t>
        </is>
      </c>
      <c r="T3" s="5" t="inlineStr">
        <is>
          <t>TOTAL</t>
        </is>
      </c>
    </row>
    <row r="4" ht="20" customHeight="1">
      <c r="A4" s="6" t="inlineStr">
        <is>
          <t>AGE PROFILE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8" t="n"/>
    </row>
    <row r="5" ht="20" customHeight="1">
      <c r="A5" s="9" t="inlineStr">
        <is>
          <t>Gen Z 18–25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1">
        <f>SUM(B5:S5)</f>
        <v/>
      </c>
    </row>
    <row r="6" ht="20" customHeight="1">
      <c r="A6" s="9" t="inlineStr">
        <is>
          <t>Gen Y 26–35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1">
        <f>SUM(B6:S6)</f>
        <v/>
      </c>
    </row>
    <row r="7" ht="20" customHeight="1">
      <c r="A7" s="9" t="inlineStr">
        <is>
          <t>Gen Y 36–45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1">
        <f>SUM(B7:S7)</f>
        <v/>
      </c>
    </row>
    <row r="8" ht="20" customHeight="1">
      <c r="A8" s="9" t="inlineStr">
        <is>
          <t>Gen X 46–55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1">
        <f>SUM(B8:S8)</f>
        <v/>
      </c>
    </row>
    <row r="9" ht="20" customHeight="1">
      <c r="A9" s="9" t="inlineStr">
        <is>
          <t>Baby Boomers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1">
        <f>SUM(B9:S9)</f>
        <v/>
      </c>
    </row>
    <row r="10" ht="20" customHeight="1">
      <c r="A10" s="6" t="inlineStr">
        <is>
          <t>GENDER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8" t="n"/>
    </row>
    <row r="11" ht="20" customHeight="1">
      <c r="A11" s="9" t="inlineStr">
        <is>
          <t>Male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1">
        <f>SUM(B11:S11)</f>
        <v/>
      </c>
    </row>
    <row r="12" ht="20" customHeight="1">
      <c r="A12" s="9" t="inlineStr">
        <is>
          <t>Female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1">
        <f>SUM(B12:S12)</f>
        <v/>
      </c>
    </row>
    <row r="13" ht="20" customHeight="1">
      <c r="A13" s="6" t="inlineStr">
        <is>
          <t>TENURE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8" t="n"/>
    </row>
    <row r="14" ht="20" customHeight="1">
      <c r="A14" s="9" t="inlineStr">
        <is>
          <t>Below 1 year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1">
        <f>SUM(B14:S14)</f>
        <v/>
      </c>
    </row>
    <row r="15" ht="20" customHeight="1">
      <c r="A15" s="9" t="inlineStr">
        <is>
          <t>1–8 years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1">
        <f>SUM(B15:S15)</f>
        <v/>
      </c>
    </row>
    <row r="16" ht="20" customHeight="1">
      <c r="A16" s="9" t="inlineStr">
        <is>
          <t>9–16 years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1">
        <f>SUM(B16:S16)</f>
        <v/>
      </c>
    </row>
    <row r="17" ht="20" customHeight="1">
      <c r="A17" s="9" t="inlineStr">
        <is>
          <t>17–25 years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1">
        <f>SUM(B17:S17)</f>
        <v/>
      </c>
    </row>
    <row r="18" ht="20" customHeight="1">
      <c r="A18" s="9" t="inlineStr">
        <is>
          <t>Over 25 years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1">
        <f>SUM(B18:S18)</f>
        <v/>
      </c>
    </row>
  </sheetData>
  <mergeCells count="2">
    <mergeCell ref="A1:U1"/>
    <mergeCell ref="A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HR Operations — Attrition &amp; Retention</t>
        </is>
      </c>
    </row>
    <row r="2" ht="16" customHeight="1">
      <c r="A2" s="2" t="inlineStr">
        <is>
          <t>Running Jan–May 2026 · NH-AR ≤20% · NH-RR ≥80% · CE-AR ≤5% · CE-RR ≥95%</t>
        </is>
      </c>
    </row>
    <row r="3">
      <c r="A3" s="4" t="inlineStr">
        <is>
          <t>Metric</t>
        </is>
      </c>
      <c r="B3" s="4" t="inlineStr">
        <is>
          <t>Target</t>
        </is>
      </c>
      <c r="C3" s="12" t="inlineStr">
        <is>
          <t>Group Avg</t>
        </is>
      </c>
      <c r="D3" s="4" t="inlineStr">
        <is>
          <t>ABC</t>
        </is>
      </c>
      <c r="E3" s="4" t="inlineStr">
        <is>
          <t>CSI</t>
        </is>
      </c>
      <c r="F3" s="4" t="inlineStr">
        <is>
          <t>PSC</t>
        </is>
      </c>
      <c r="G3" s="4" t="inlineStr">
        <is>
          <t>PHI</t>
        </is>
      </c>
      <c r="H3" s="4" t="inlineStr">
        <is>
          <t>PPC</t>
        </is>
      </c>
      <c r="I3" s="4" t="inlineStr">
        <is>
          <t>AMICI</t>
        </is>
      </c>
      <c r="J3" s="4" t="inlineStr">
        <is>
          <t>CSPIC</t>
        </is>
      </c>
      <c r="K3" s="4" t="inlineStr">
        <is>
          <t>PTMSI</t>
        </is>
      </c>
      <c r="L3" s="4" t="inlineStr">
        <is>
          <t>PTMSI SB</t>
        </is>
      </c>
      <c r="M3" s="4" t="inlineStr">
        <is>
          <t>EPICS</t>
        </is>
      </c>
      <c r="N3" s="4" t="inlineStr">
        <is>
          <t>PSEFI</t>
        </is>
      </c>
      <c r="O3" s="4" t="inlineStr">
        <is>
          <t>SKILLS</t>
        </is>
      </c>
      <c r="P3" s="4" t="inlineStr">
        <is>
          <t>SKL COOP</t>
        </is>
      </c>
      <c r="Q3" s="4" t="inlineStr">
        <is>
          <t>PSI</t>
        </is>
      </c>
      <c r="R3" s="4" t="inlineStr">
        <is>
          <t>APODIS</t>
        </is>
      </c>
      <c r="S3" s="4" t="inlineStr">
        <is>
          <t>MLG</t>
        </is>
      </c>
      <c r="T3" s="4" t="inlineStr">
        <is>
          <t>THAM</t>
        </is>
      </c>
      <c r="U3" s="4" t="inlineStr">
        <is>
          <t>SLM</t>
        </is>
      </c>
    </row>
    <row r="4" ht="20" customHeight="1">
      <c r="A4" s="6" t="inlineStr">
        <is>
          <t>STAFF</t>
        </is>
      </c>
      <c r="B4" s="7" t="inlineStr"/>
      <c r="C4" s="8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</row>
    <row r="5" ht="20" customHeight="1">
      <c r="A5" s="9" t="inlineStr">
        <is>
          <t>NH-AR</t>
        </is>
      </c>
      <c r="B5" s="13" t="inlineStr">
        <is>
          <t>≤20%</t>
        </is>
      </c>
      <c r="C5" s="14">
        <f>AVERAGE(D5:U5)</f>
        <v/>
      </c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</row>
    <row r="6" ht="20" customHeight="1">
      <c r="A6" s="9" t="inlineStr">
        <is>
          <t>NH-RR</t>
        </is>
      </c>
      <c r="B6" s="13" t="inlineStr">
        <is>
          <t>≥80%</t>
        </is>
      </c>
      <c r="C6" s="14">
        <f>AVERAGE(D6:U6)</f>
        <v/>
      </c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</row>
    <row r="7" ht="20" customHeight="1">
      <c r="A7" s="9" t="inlineStr">
        <is>
          <t>CE-AR</t>
        </is>
      </c>
      <c r="B7" s="13" t="inlineStr">
        <is>
          <t>≤5%</t>
        </is>
      </c>
      <c r="C7" s="14">
        <f>AVERAGE(D7:U7)</f>
        <v/>
      </c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</row>
    <row r="8" ht="20" customHeight="1">
      <c r="A8" s="9" t="inlineStr">
        <is>
          <t>CE-RR</t>
        </is>
      </c>
      <c r="B8" s="13" t="inlineStr">
        <is>
          <t>≥95%</t>
        </is>
      </c>
      <c r="C8" s="14">
        <f>AVERAGE(D8:U8)</f>
        <v/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</row>
    <row r="9" ht="20" customHeight="1">
      <c r="A9" s="6" t="inlineStr">
        <is>
          <t>RANKS &amp; FILE</t>
        </is>
      </c>
      <c r="B9" s="7" t="inlineStr"/>
      <c r="C9" s="8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 ht="20" customHeight="1">
      <c r="A10" s="9" t="inlineStr">
        <is>
          <t>NH-AR</t>
        </is>
      </c>
      <c r="B10" s="13" t="inlineStr">
        <is>
          <t>≤20%</t>
        </is>
      </c>
      <c r="C10" s="14">
        <f>AVERAGE(D10:U10)</f>
        <v/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</row>
    <row r="11" ht="20" customHeight="1">
      <c r="A11" s="9" t="inlineStr">
        <is>
          <t>NH-RR</t>
        </is>
      </c>
      <c r="B11" s="13" t="inlineStr">
        <is>
          <t>≥80%</t>
        </is>
      </c>
      <c r="C11" s="14">
        <f>AVERAGE(D11:U11)</f>
        <v/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</row>
    <row r="12" ht="20" customHeight="1">
      <c r="A12" s="9" t="inlineStr">
        <is>
          <t>CE-AR</t>
        </is>
      </c>
      <c r="B12" s="13" t="inlineStr">
        <is>
          <t>≤5%</t>
        </is>
      </c>
      <c r="C12" s="14">
        <f>AVERAGE(D12:U12)</f>
        <v/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</row>
    <row r="13" ht="20" customHeight="1">
      <c r="A13" s="9" t="inlineStr">
        <is>
          <t>CE-RR</t>
        </is>
      </c>
      <c r="B13" s="13" t="inlineStr">
        <is>
          <t>≥95%</t>
        </is>
      </c>
      <c r="C13" s="14">
        <f>AVERAGE(D13:U13)</f>
        <v/>
      </c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</row>
  </sheetData>
  <mergeCells count="2">
    <mergeCell ref="A2:V2"/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 ht="30" customHeight="1">
      <c r="A1" s="1" t="inlineStr">
        <is>
          <t>HR Operations — PRF Request vs Served</t>
        </is>
      </c>
    </row>
    <row r="2" ht="16" customHeight="1">
      <c r="A2" s="2" t="inlineStr">
        <is>
          <t>Position Request Form · Jan–May 2026</t>
        </is>
      </c>
    </row>
    <row r="3">
      <c r="A3" s="3" t="n"/>
      <c r="B3" s="4" t="inlineStr">
        <is>
          <t>ABC</t>
        </is>
      </c>
      <c r="C3" s="4" t="inlineStr">
        <is>
          <t>CSI</t>
        </is>
      </c>
      <c r="D3" s="4" t="inlineStr">
        <is>
          <t>PSC</t>
        </is>
      </c>
      <c r="E3" s="4" t="inlineStr">
        <is>
          <t>PHI</t>
        </is>
      </c>
      <c r="F3" s="4" t="inlineStr">
        <is>
          <t>PPC</t>
        </is>
      </c>
      <c r="G3" s="4" t="inlineStr">
        <is>
          <t>AMICI</t>
        </is>
      </c>
      <c r="H3" s="4" t="inlineStr">
        <is>
          <t>CSPIC</t>
        </is>
      </c>
      <c r="I3" s="4" t="inlineStr">
        <is>
          <t>PTMSI</t>
        </is>
      </c>
      <c r="J3" s="4" t="inlineStr">
        <is>
          <t>PTMSI SB</t>
        </is>
      </c>
      <c r="K3" s="4" t="inlineStr">
        <is>
          <t>EPICS</t>
        </is>
      </c>
      <c r="L3" s="4" t="inlineStr">
        <is>
          <t>PSEFI</t>
        </is>
      </c>
      <c r="M3" s="4" t="inlineStr">
        <is>
          <t>SKILLS</t>
        </is>
      </c>
      <c r="N3" s="4" t="inlineStr">
        <is>
          <t>SKL COOP</t>
        </is>
      </c>
      <c r="O3" s="4" t="inlineStr">
        <is>
          <t>PSI</t>
        </is>
      </c>
      <c r="P3" s="4" t="inlineStr">
        <is>
          <t>APODIS</t>
        </is>
      </c>
      <c r="Q3" s="4" t="inlineStr">
        <is>
          <t>MLG</t>
        </is>
      </c>
      <c r="R3" s="4" t="inlineStr">
        <is>
          <t>THAM</t>
        </is>
      </c>
      <c r="S3" s="4" t="inlineStr">
        <is>
          <t>SLM</t>
        </is>
      </c>
      <c r="T3" s="5" t="inlineStr">
        <is>
          <t>TOTAL</t>
        </is>
      </c>
    </row>
    <row r="4" ht="20" customHeight="1">
      <c r="A4" s="6" t="inlineStr">
        <is>
          <t>STAFF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8" t="n"/>
    </row>
    <row r="5" ht="20" customHeight="1">
      <c r="A5" s="9" t="inlineStr">
        <is>
          <t>PRF Request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1">
        <f>SUM(B5:S5)</f>
        <v/>
      </c>
    </row>
    <row r="6" ht="20" customHeight="1">
      <c r="A6" s="9" t="inlineStr">
        <is>
          <t>PRF Served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1">
        <f>SUM(B6:S6)</f>
        <v/>
      </c>
    </row>
    <row r="7" ht="20" customHeight="1">
      <c r="A7" s="9" t="inlineStr">
        <is>
          <t>Hired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1">
        <f>SUM(B7:S7)</f>
        <v/>
      </c>
    </row>
    <row r="8" ht="20" customHeight="1">
      <c r="A8" s="9" t="inlineStr">
        <is>
          <t>Separated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1">
        <f>SUM(B8:S8)</f>
        <v/>
      </c>
    </row>
    <row r="9" ht="20" customHeight="1">
      <c r="A9" s="6" t="inlineStr">
        <is>
          <t>RANKS &amp; FILE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8" t="n"/>
    </row>
    <row r="10" ht="20" customHeight="1">
      <c r="A10" s="9" t="inlineStr">
        <is>
          <t>PRF Request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1">
        <f>SUM(B10:S10)</f>
        <v/>
      </c>
    </row>
    <row r="11" ht="20" customHeight="1">
      <c r="A11" s="9" t="inlineStr">
        <is>
          <t>PRF Served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1">
        <f>SUM(B11:S11)</f>
        <v/>
      </c>
    </row>
    <row r="12" ht="20" customHeight="1">
      <c r="A12" s="9" t="inlineStr">
        <is>
          <t>Hired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1">
        <f>SUM(B12:S12)</f>
        <v/>
      </c>
    </row>
    <row r="13" ht="20" customHeight="1">
      <c r="A13" s="9" t="inlineStr">
        <is>
          <t>Separated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1">
        <f>SUM(B13:S13)</f>
        <v/>
      </c>
    </row>
  </sheetData>
  <mergeCells count="2">
    <mergeCell ref="A1:U1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2026-06-29T02:27:29Z</dcterms:created>
  <dcterms:modified xmlns:dcterms="http://purl.org/dc/terms/" xmlns:xsi="http://www.w3.org/2001/XMLSchema-instance" xsi:type="dcterms:W3CDTF">2026-06-29T02:27:29Z</dcterms:modified>
</cp:coreProperties>
</file>